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KHÁCH LẺ\Bánh mì\Gửi khách\Gửi khách Lần 2\"/>
    </mc:Choice>
  </mc:AlternateContent>
  <xr:revisionPtr revIDLastSave="0" documentId="13_ncr:1_{D769B6B3-A064-48D1-8AF7-E05E36579FA1}" xr6:coauthVersionLast="47" xr6:coauthVersionMax="47" xr10:uidLastSave="{00000000-0000-0000-0000-000000000000}"/>
  <bookViews>
    <workbookView xWindow="-120" yWindow="-120" windowWidth="29040" windowHeight="15840" xr2:uid="{ED8771A5-55CA-43AA-AE04-BB9F1C0B15F7}"/>
  </bookViews>
  <sheets>
    <sheet name="Báo giá" sheetId="4" r:id="rId1"/>
    <sheet name="Breakdown" sheetId="9"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9" l="1"/>
  <c r="G20" i="9"/>
  <c r="F33" i="9" l="1"/>
  <c r="F32" i="9"/>
  <c r="F31" i="9"/>
  <c r="F30" i="9"/>
  <c r="F29" i="9"/>
  <c r="F28" i="9"/>
  <c r="F27" i="9"/>
  <c r="F26" i="9"/>
  <c r="F25" i="9"/>
  <c r="F15" i="9"/>
  <c r="F14" i="9"/>
  <c r="F13" i="9"/>
  <c r="F12" i="9"/>
  <c r="F11" i="9"/>
  <c r="D10" i="9"/>
  <c r="D7" i="9" s="1"/>
  <c r="F9" i="9"/>
  <c r="F6" i="9"/>
  <c r="F5" i="9"/>
  <c r="F4" i="9"/>
  <c r="F7" i="9" l="1"/>
  <c r="D8" i="9"/>
  <c r="F8" i="9" s="1"/>
  <c r="E35" i="9"/>
  <c r="F35" i="9" s="1"/>
  <c r="F10" i="9"/>
  <c r="E17" i="9"/>
  <c r="F17" i="9" s="1"/>
  <c r="E34" i="9"/>
  <c r="F34" i="9" s="1"/>
  <c r="E16" i="9"/>
  <c r="F16" i="9" s="1"/>
  <c r="E36" i="9" l="1"/>
  <c r="F36" i="9" s="1"/>
  <c r="E37" i="9" s="1"/>
  <c r="F37" i="9" s="1"/>
  <c r="F38" i="9" s="1"/>
  <c r="E18" i="9"/>
  <c r="F18" i="9" s="1"/>
  <c r="E19" i="9" s="1"/>
  <c r="F19" i="9" s="1"/>
  <c r="F39" i="9" l="1"/>
  <c r="F40" i="9" s="1"/>
  <c r="F20" i="9"/>
  <c r="F21" i="9" l="1"/>
  <c r="F22" i="9" l="1"/>
  <c r="F14" i="4" l="1"/>
  <c r="F13" i="4"/>
  <c r="F12" i="4"/>
  <c r="F11" i="4"/>
  <c r="F15" i="4" l="1"/>
  <c r="F16" i="4" s="1"/>
  <c r="F17" i="4" s="1"/>
</calcChain>
</file>

<file path=xl/sharedStrings.xml><?xml version="1.0" encoding="utf-8"?>
<sst xmlns="http://schemas.openxmlformats.org/spreadsheetml/2006/main" count="107" uniqueCount="65">
  <si>
    <t>Bộ</t>
  </si>
  <si>
    <t>Đơn vị tính</t>
  </si>
  <si>
    <t>Đơn giá</t>
  </si>
  <si>
    <t>Thành tiền</t>
  </si>
  <si>
    <t>Hạng muc</t>
  </si>
  <si>
    <t>STT</t>
  </si>
  <si>
    <t>Khối lượng</t>
  </si>
  <si>
    <t>Cộng</t>
  </si>
  <si>
    <t>Tổng tiền sau Thuế</t>
  </si>
  <si>
    <t>Gói</t>
  </si>
  <si>
    <t>Ghi chú</t>
  </si>
  <si>
    <t>CÔNG TY CỔ PHẦN ÁNH SÁNG TIẾN DƯ</t>
  </si>
  <si>
    <t>- Đơn giá đóng gói tại xưởng đảm bảo hàng hóa chịu lực tốt theo tiêu chuẩn xuất khẩu. Xưởng không chịu trách nhiệm đối với các rủi ro móp méo, bể vỡ do bên vận chuyển thực hiện.</t>
  </si>
  <si>
    <t>- Báo giá chưa bao gồm chi phí giao hàng đến địa điểm theo yêu cầu của khách hàng.</t>
  </si>
  <si>
    <t>CÔNG TY CỔ PHẦN  ÁNH SÁNG TIẾN DƯ</t>
  </si>
  <si>
    <t>Trụ Sở Chính: Số 58 Thanh Quả, Sinh Quả, Bình Minh, Hà Nội</t>
  </si>
  <si>
    <t>ĐT: 024.37525018 * Fax: 024.37525015</t>
  </si>
  <si>
    <t>Website: www.tiendulight.com</t>
  </si>
  <si>
    <t>BẢNG BÁO GIÁ</t>
  </si>
  <si>
    <t xml:space="preserve">Kính gửi Quý khách hàng </t>
  </si>
  <si>
    <t>Công ty Cổ Phần Ánh sáng Tiến Dư xin gửi tới Quý Khách hàng bảng báo giá  như sau:</t>
  </si>
  <si>
    <r>
      <rPr>
        <b/>
        <sz val="13"/>
        <color theme="1"/>
        <rFont val="Times New Roman"/>
        <family val="1"/>
      </rPr>
      <t>Chứng nhận hun trùng (Fumigation)</t>
    </r>
    <r>
      <rPr>
        <sz val="13"/>
        <color theme="1"/>
        <rFont val="Times New Roman"/>
        <family val="1"/>
      </rPr>
      <t xml:space="preserve">
Khử trùng kiện gỗ theo tiêu chuẩn quốc tế ISPM-15 &amp; cấp chứng thư phục vụ thông quan</t>
    </r>
  </si>
  <si>
    <t>Chi Nhánh Hồ Chí Minh : Số 106 Đông Minh, Phường Đông Hòa, Tp. Hồ Chí Minh</t>
  </si>
  <si>
    <r>
      <rPr>
        <b/>
        <sz val="13"/>
        <color theme="1"/>
        <rFont val="Times New Roman"/>
        <family val="1"/>
      </rPr>
      <t>Chi phí đóng gói kiện gỗ để xuất khẩu</t>
    </r>
    <r>
      <rPr>
        <sz val="13"/>
        <color theme="1"/>
        <rFont val="Times New Roman"/>
        <family val="1"/>
      </rPr>
      <t xml:space="preserve">
- Quấn màng PE, bọc xốp nổ chống xước; chèn xốp khối chống lắc; đóng kiện bằng ván ép Plywood kèm chân pallet cao 10cm để vận chuyển được bằng xe nâng</t>
    </r>
  </si>
  <si>
    <t>Thuế Vat 8%</t>
  </si>
  <si>
    <r>
      <rPr>
        <b/>
        <sz val="13"/>
        <color theme="1"/>
        <rFont val="Times New Roman"/>
        <family val="1"/>
      </rPr>
      <t>Bộ chữ: Vietnamese Food &amp; Coffee
Kích thước: 1.5m x3.0m</t>
    </r>
    <r>
      <rPr>
        <sz val="13"/>
        <color theme="1"/>
        <rFont val="Times New Roman"/>
        <family val="1"/>
      </rPr>
      <t xml:space="preserve">
- Mặt chữ làm bằng Polycarbonate dày 2.5mm dán decal 3M theo màu nhận diện;  viền liên kết tấm mặt bằng gờ Trimcap chống thấm nước; 
- Thân chữ làm bằng nhôm Profile định hình uốn nổi 8cm theo thiết kế
- Đáy chữ làm bằng tấm Alu 3mm độ phủ nhôm 0.10mm
Hệ thống đèn bên trong sử dụng LED module ánh sáng vàng, chống nước IP67, Chip Led đạt chuẩn UL 
Bộ nguồn chuyển đổi Meanwell chính hãng dải hoạt động 100V-240V đạt chứng chỉ UL, đáp ứng tiêu chuẩn vận hành ngoài trời.</t>
    </r>
  </si>
  <si>
    <r>
      <rPr>
        <b/>
        <sz val="13"/>
        <color theme="1"/>
        <rFont val="Times New Roman"/>
        <family val="1"/>
      </rPr>
      <t>Bộ chữ : I Love BanhMi
Kích thước 2.0 x2.8m</t>
    </r>
    <r>
      <rPr>
        <sz val="13"/>
        <color theme="1"/>
        <rFont val="Times New Roman"/>
        <family val="1"/>
      </rPr>
      <t xml:space="preserve">
- Mặt chữ làm bằng Polycarbonate dày 2.5mm dán decal 3M theo màu nhận diện;  viền liên kết tấm mặt bằng gờ Trimcap chống thấm nước; 
- Thân chữ làm bằng nhôm Profile định hình uốn nổi 12cm theo thiết kế, bên trong gia cố hệ khung inox hộp tăng cứng.
- Đáy chữ làm bằng tấm Alu 3mm độ phủ nhôm 0.10mm
- Hệ thống đèn bên trong sử dụng LED module ánh sáng trắng, chống nước IP67, Chip Led đạt chuẩn UL 
- Bộ nguồn chuyển đổi Meanwell chính hãng dải hoạt động 100V-240V đạt chứng chỉ UL, đáp ứng tiêu chuẩn vận hành ngoài trời.</t>
    </r>
  </si>
  <si>
    <t>Bộ chữ Tôi I bánh mì</t>
  </si>
  <si>
    <t>Hạng mục</t>
  </si>
  <si>
    <t>Số lượng</t>
  </si>
  <si>
    <t>m</t>
  </si>
  <si>
    <t>Đáy alu dán đèn Led</t>
  </si>
  <si>
    <t>tấm</t>
  </si>
  <si>
    <t>m2</t>
  </si>
  <si>
    <t>cây</t>
  </si>
  <si>
    <t>Poly cacbonat dày 2.5mm</t>
  </si>
  <si>
    <t>bóng</t>
  </si>
  <si>
    <t>bộ</t>
  </si>
  <si>
    <t>Công sản xuất</t>
  </si>
  <si>
    <t>công</t>
  </si>
  <si>
    <t>gói</t>
  </si>
  <si>
    <t>Chi phí quản lý</t>
  </si>
  <si>
    <t>Cộng trực tiếp</t>
  </si>
  <si>
    <t>Bộ chữ Vietnamese Food…</t>
  </si>
  <si>
    <t>Meanwell chính hãng dải hoạt động 100V-240V đạt chứng chỉ UL</t>
  </si>
  <si>
    <t>Hao hụt vật tư</t>
  </si>
  <si>
    <t>%</t>
  </si>
  <si>
    <t>Lợi nhuận</t>
  </si>
  <si>
    <t>In UV nội dung lên decal</t>
  </si>
  <si>
    <t>Sơn hoàn thiện thân, đáy</t>
  </si>
  <si>
    <t>Inox hộp 10x30x1.2mm</t>
  </si>
  <si>
    <t>Nguồn Meanwell chính hãng dải hoạt động 100V-240V đạt chứng chỉ UL</t>
  </si>
  <si>
    <t>Nhôm F12 uốn thân chữ</t>
  </si>
  <si>
    <t>Nhôm F8 uốn thân chữ</t>
  </si>
  <si>
    <t>Hao hụt vật tư sản xuất</t>
  </si>
  <si>
    <t>Vật tư phụ</t>
  </si>
  <si>
    <t>Trim cáp A25 liên kết mặt chữ</t>
  </si>
  <si>
    <t>Đèn led Hàn Quốc, chip UL</t>
  </si>
  <si>
    <t>Đèn led, chip UL</t>
  </si>
  <si>
    <t>Decal 3M cán mặt chữ</t>
  </si>
  <si>
    <t>Công máy cắt, uốn chữ hoàn thiện</t>
  </si>
  <si>
    <t>Tổng chi phí</t>
  </si>
  <si>
    <t>Tổng  chi phí báo</t>
  </si>
  <si>
    <t>Tổng chi phí báo</t>
  </si>
  <si>
    <t>Nhà thầu hỗ trợ đơn vị xuất khẩu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</si>
</sst>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_(* #,##0.0_);_(* \(#,##0.0\);_(* &quot;-&quot;?_);_(@_)"/>
  </numFmts>
  <fonts count="11" x14ac:knownFonts="1">
    <font>
      <sz val="14"/>
      <color theme="1"/>
      <name val="Times New Roman"/>
      <family val="2"/>
    </font>
    <font>
      <sz val="14"/>
      <color theme="1"/>
      <name val="Times New Roman"/>
      <family val="2"/>
    </font>
    <font>
      <b/>
      <sz val="14"/>
      <color theme="1"/>
      <name val="Times New Roman"/>
      <family val="1"/>
    </font>
    <font>
      <b/>
      <sz val="12"/>
      <color theme="1"/>
      <name val="Times New Roman"/>
      <family val="1"/>
    </font>
    <font>
      <b/>
      <sz val="17"/>
      <color theme="1"/>
      <name val="Times New Roman"/>
      <family val="1"/>
    </font>
    <font>
      <sz val="13"/>
      <color theme="1"/>
      <name val="Times New Roman"/>
      <family val="1"/>
    </font>
    <font>
      <b/>
      <sz val="13"/>
      <color theme="1"/>
      <name val="Times New Roman"/>
      <family val="1"/>
    </font>
    <font>
      <b/>
      <u/>
      <sz val="14"/>
      <name val="Times New Roman"/>
      <family val="1"/>
    </font>
    <font>
      <sz val="14"/>
      <color theme="1"/>
      <name val="Times New Roman"/>
      <family val="1"/>
    </font>
    <font>
      <sz val="14"/>
      <name val="Times New Roman"/>
      <family val="2"/>
    </font>
    <font>
      <b/>
      <sz val="14"/>
      <color rgb="FFFF0000"/>
      <name val="Times New Roman"/>
      <family val="1"/>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double">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4">
    <xf numFmtId="0" fontId="0" fillId="0" borderId="0" xfId="0"/>
    <xf numFmtId="0" fontId="0" fillId="0" borderId="1" xfId="0" applyBorder="1" applyAlignment="1">
      <alignment horizontal="center" vertical="center"/>
    </xf>
    <xf numFmtId="0" fontId="0" fillId="0" borderId="1" xfId="0" applyBorder="1"/>
    <xf numFmtId="0" fontId="0" fillId="0" borderId="0" xfId="0" quotePrefix="1" applyAlignment="1">
      <alignment vertical="center"/>
    </xf>
    <xf numFmtId="0" fontId="0" fillId="0" borderId="5" xfId="0" applyBorder="1"/>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164" fontId="5" fillId="0" borderId="1" xfId="1" applyNumberFormat="1" applyFont="1" applyBorder="1" applyAlignment="1">
      <alignment horizontal="center" vertical="center"/>
    </xf>
    <xf numFmtId="164" fontId="5" fillId="0" borderId="1" xfId="1" applyNumberFormat="1" applyFont="1" applyBorder="1" applyAlignment="1">
      <alignment vertical="center"/>
    </xf>
    <xf numFmtId="0" fontId="5" fillId="0" borderId="1" xfId="0" applyFont="1" applyBorder="1"/>
    <xf numFmtId="164" fontId="6" fillId="0" borderId="1" xfId="0" applyNumberFormat="1" applyFont="1" applyBorder="1" applyAlignment="1">
      <alignment vertical="center"/>
    </xf>
    <xf numFmtId="164" fontId="6" fillId="0" borderId="1" xfId="1" applyNumberFormat="1" applyFont="1" applyBorder="1" applyAlignment="1">
      <alignment vertical="center"/>
    </xf>
    <xf numFmtId="0" fontId="6" fillId="0" borderId="1" xfId="0" applyFont="1" applyBorder="1" applyAlignment="1">
      <alignment vertical="center"/>
    </xf>
    <xf numFmtId="0" fontId="7" fillId="0" borderId="0" xfId="0" applyFont="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left" vertical="center"/>
    </xf>
    <xf numFmtId="165" fontId="0" fillId="0" borderId="1" xfId="0" applyNumberFormat="1" applyBorder="1" applyAlignment="1">
      <alignment horizontal="right" vertical="center"/>
    </xf>
    <xf numFmtId="164" fontId="0" fillId="0" borderId="1" xfId="1" applyNumberFormat="1" applyFont="1" applyBorder="1" applyAlignment="1">
      <alignment vertical="center"/>
    </xf>
    <xf numFmtId="164" fontId="0" fillId="0" borderId="1" xfId="0" applyNumberFormat="1" applyBorder="1" applyAlignment="1">
      <alignment vertical="center"/>
    </xf>
    <xf numFmtId="0" fontId="0" fillId="0" borderId="1" xfId="0" applyBorder="1" applyAlignment="1">
      <alignment horizontal="left" vertical="center" wrapText="1"/>
    </xf>
    <xf numFmtId="0" fontId="2" fillId="0" borderId="0" xfId="0" applyFont="1" applyAlignment="1">
      <alignment vertical="center"/>
    </xf>
    <xf numFmtId="0" fontId="0" fillId="0" borderId="1" xfId="0" applyBorder="1" applyAlignment="1">
      <alignment vertical="center"/>
    </xf>
    <xf numFmtId="165" fontId="0" fillId="0" borderId="1" xfId="0" applyNumberFormat="1" applyBorder="1" applyAlignment="1">
      <alignment vertical="center"/>
    </xf>
    <xf numFmtId="0" fontId="8" fillId="0" borderId="6" xfId="0" applyFont="1" applyBorder="1" applyAlignment="1">
      <alignment horizontal="center" vertical="center"/>
    </xf>
    <xf numFmtId="0" fontId="0" fillId="0" borderId="0" xfId="0" quotePrefix="1" applyAlignment="1">
      <alignment horizontal="left" vertical="center" wrapText="1"/>
    </xf>
    <xf numFmtId="0" fontId="0" fillId="0" borderId="0" xfId="0" applyAlignment="1">
      <alignment horizontal="left" vertical="center" wrapText="1"/>
    </xf>
    <xf numFmtId="0" fontId="2" fillId="0" borderId="4"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0" fillId="0" borderId="6" xfId="0" applyBorder="1" applyAlignment="1">
      <alignment horizontal="lef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2" fillId="0" borderId="0" xfId="0" applyFont="1" applyAlignment="1">
      <alignment horizontal="right"/>
    </xf>
    <xf numFmtId="0" fontId="0" fillId="0" borderId="0" xfId="0" applyAlignment="1">
      <alignment horizontal="right"/>
    </xf>
    <xf numFmtId="0" fontId="0" fillId="0" borderId="5" xfId="0" applyBorder="1" applyAlignment="1">
      <alignment horizontal="right"/>
    </xf>
    <xf numFmtId="0" fontId="0" fillId="0" borderId="1" xfId="0" applyBorder="1" applyAlignment="1">
      <alignment vertical="center" wrapText="1"/>
    </xf>
    <xf numFmtId="164" fontId="0" fillId="0" borderId="0" xfId="0" applyNumberFormat="1"/>
    <xf numFmtId="0" fontId="9" fillId="0" borderId="1" xfId="0" applyFont="1" applyBorder="1" applyAlignment="1">
      <alignment horizontal="center" vertical="center"/>
    </xf>
    <xf numFmtId="0" fontId="9" fillId="0" borderId="1" xfId="0" applyFont="1" applyBorder="1" applyAlignment="1">
      <alignment vertical="center"/>
    </xf>
    <xf numFmtId="9" fontId="9" fillId="0" borderId="1" xfId="0" applyNumberFormat="1" applyFont="1" applyBorder="1" applyAlignment="1">
      <alignment vertical="center"/>
    </xf>
    <xf numFmtId="164" fontId="9" fillId="0" borderId="1" xfId="1" applyNumberFormat="1" applyFont="1" applyBorder="1" applyAlignment="1">
      <alignment vertical="center"/>
    </xf>
    <xf numFmtId="0" fontId="9" fillId="0" borderId="1" xfId="0" applyFont="1" applyBorder="1" applyAlignment="1">
      <alignment vertical="center" wrapText="1"/>
    </xf>
    <xf numFmtId="165" fontId="9" fillId="0" borderId="1" xfId="0" applyNumberFormat="1" applyFont="1" applyBorder="1" applyAlignment="1">
      <alignment vertical="center"/>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165" fontId="9" fillId="2" borderId="1" xfId="0" applyNumberFormat="1" applyFont="1" applyFill="1" applyBorder="1" applyAlignment="1">
      <alignment horizontal="right" vertical="center"/>
    </xf>
    <xf numFmtId="164" fontId="9" fillId="2" borderId="1" xfId="1" applyNumberFormat="1" applyFont="1" applyFill="1" applyBorder="1" applyAlignment="1">
      <alignment vertical="center"/>
    </xf>
    <xf numFmtId="164" fontId="9" fillId="2" borderId="1" xfId="0" applyNumberFormat="1" applyFont="1" applyFill="1" applyBorder="1" applyAlignment="1">
      <alignment vertical="center"/>
    </xf>
    <xf numFmtId="0" fontId="9" fillId="0" borderId="1" xfId="0" applyFont="1" applyBorder="1" applyAlignment="1">
      <alignment horizontal="left" vertical="center" wrapText="1"/>
    </xf>
    <xf numFmtId="165" fontId="9" fillId="0" borderId="1" xfId="0" applyNumberFormat="1" applyFont="1" applyBorder="1" applyAlignment="1">
      <alignment horizontal="right" vertical="center"/>
    </xf>
    <xf numFmtId="164" fontId="9" fillId="0" borderId="1" xfId="0" applyNumberFormat="1" applyFont="1" applyBorder="1" applyAlignment="1">
      <alignment vertical="center"/>
    </xf>
    <xf numFmtId="0" fontId="9" fillId="0" borderId="1" xfId="0" applyFont="1" applyBorder="1" applyAlignment="1">
      <alignment horizontal="left" vertical="center"/>
    </xf>
    <xf numFmtId="9" fontId="9" fillId="0" borderId="1" xfId="0" applyNumberFormat="1" applyFont="1" applyBorder="1" applyAlignment="1">
      <alignment horizontal="right" vertical="center"/>
    </xf>
    <xf numFmtId="166" fontId="9" fillId="0" borderId="1" xfId="0" applyNumberFormat="1" applyFont="1" applyBorder="1" applyAlignment="1">
      <alignment vertical="center"/>
    </xf>
    <xf numFmtId="0" fontId="2" fillId="0" borderId="1" xfId="0" applyFont="1" applyBorder="1" applyAlignment="1">
      <alignment vertical="center"/>
    </xf>
    <xf numFmtId="0" fontId="10" fillId="0" borderId="2" xfId="0" applyFont="1" applyBorder="1" applyAlignment="1">
      <alignment horizontal="center" vertical="center"/>
    </xf>
    <xf numFmtId="0" fontId="10" fillId="0" borderId="7" xfId="0" applyFont="1" applyBorder="1" applyAlignment="1">
      <alignment horizontal="center" vertical="center"/>
    </xf>
    <xf numFmtId="0" fontId="10" fillId="0" borderId="3" xfId="0" applyFont="1" applyBorder="1" applyAlignment="1">
      <alignment horizontal="center" vertical="center"/>
    </xf>
    <xf numFmtId="164" fontId="10" fillId="0" borderId="1" xfId="1" applyNumberFormat="1" applyFont="1" applyBorder="1" applyAlignment="1">
      <alignment vertical="center"/>
    </xf>
    <xf numFmtId="164" fontId="10" fillId="0" borderId="1" xfId="0" applyNumberFormat="1" applyFont="1" applyBorder="1" applyAlignment="1">
      <alignment vertical="center"/>
    </xf>
    <xf numFmtId="164"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9525</xdr:rowOff>
    </xdr:from>
    <xdr:to>
      <xdr:col>1</xdr:col>
      <xdr:colOff>812252</xdr:colOff>
      <xdr:row>3</xdr:row>
      <xdr:rowOff>173050</xdr:rowOff>
    </xdr:to>
    <xdr:pic>
      <xdr:nvPicPr>
        <xdr:cNvPr id="2" name="Picture 1">
          <a:extLst>
            <a:ext uri="{FF2B5EF4-FFF2-40B4-BE49-F238E27FC236}">
              <a16:creationId xmlns:a16="http://schemas.microsoft.com/office/drawing/2014/main" id="{08498E66-48E4-284C-11E9-263A8331C0A8}"/>
            </a:ext>
          </a:extLst>
        </xdr:cNvPr>
        <xdr:cNvPicPr>
          <a:picLocks noChangeAspect="1"/>
        </xdr:cNvPicPr>
      </xdr:nvPicPr>
      <xdr:blipFill>
        <a:blip xmlns:r="http://schemas.openxmlformats.org/officeDocument/2006/relationships" r:embed="rId1"/>
        <a:stretch>
          <a:fillRect/>
        </a:stretch>
      </xdr:blipFill>
      <xdr:spPr>
        <a:xfrm>
          <a:off x="123825" y="9525"/>
          <a:ext cx="1603387" cy="877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19F2-3066-4ACF-B30D-55C8FB7B8537}">
  <dimension ref="A1:F23"/>
  <sheetViews>
    <sheetView tabSelected="1" zoomScale="85" zoomScaleNormal="85" workbookViewId="0">
      <selection activeCell="L11" sqref="L11"/>
    </sheetView>
  </sheetViews>
  <sheetFormatPr defaultRowHeight="18.75" x14ac:dyDescent="0.3"/>
  <cols>
    <col min="1" max="1" width="10.77734375" customWidth="1"/>
    <col min="2" max="2" width="45.88671875" customWidth="1"/>
    <col min="3" max="3" width="7.77734375" customWidth="1"/>
    <col min="4" max="4" width="10" customWidth="1"/>
    <col min="5" max="5" width="13.88671875" customWidth="1"/>
    <col min="6" max="6" width="17.21875" customWidth="1"/>
    <col min="7" max="7" width="10" customWidth="1"/>
  </cols>
  <sheetData>
    <row r="1" spans="1:6" x14ac:dyDescent="0.3">
      <c r="B1" s="35" t="s">
        <v>14</v>
      </c>
      <c r="C1" s="35"/>
      <c r="D1" s="35"/>
      <c r="E1" s="35"/>
      <c r="F1" s="35"/>
    </row>
    <row r="2" spans="1:6" x14ac:dyDescent="0.3">
      <c r="B2" s="36" t="s">
        <v>15</v>
      </c>
      <c r="C2" s="36"/>
      <c r="D2" s="36"/>
      <c r="E2" s="36"/>
      <c r="F2" s="36"/>
    </row>
    <row r="3" spans="1:6" x14ac:dyDescent="0.3">
      <c r="B3" s="36" t="s">
        <v>22</v>
      </c>
      <c r="C3" s="36"/>
      <c r="D3" s="36"/>
      <c r="E3" s="36"/>
      <c r="F3" s="36"/>
    </row>
    <row r="4" spans="1:6" x14ac:dyDescent="0.3">
      <c r="B4" s="36" t="s">
        <v>16</v>
      </c>
      <c r="C4" s="36"/>
      <c r="D4" s="36"/>
      <c r="E4" s="36"/>
      <c r="F4" s="36"/>
    </row>
    <row r="5" spans="1:6" ht="19.5" thickBot="1" x14ac:dyDescent="0.35">
      <c r="A5" s="4"/>
      <c r="B5" s="37" t="s">
        <v>17</v>
      </c>
      <c r="C5" s="37"/>
      <c r="D5" s="37"/>
      <c r="E5" s="37"/>
      <c r="F5" s="37"/>
    </row>
    <row r="6" spans="1:6" ht="19.5" thickTop="1" x14ac:dyDescent="0.3"/>
    <row r="7" spans="1:6" ht="27" customHeight="1" x14ac:dyDescent="0.3">
      <c r="A7" s="30" t="s">
        <v>18</v>
      </c>
      <c r="B7" s="30"/>
      <c r="C7" s="30"/>
      <c r="D7" s="30"/>
      <c r="E7" s="30"/>
      <c r="F7" s="30"/>
    </row>
    <row r="8" spans="1:6" ht="25.5" customHeight="1" x14ac:dyDescent="0.3">
      <c r="A8" s="31" t="s">
        <v>19</v>
      </c>
      <c r="B8" s="31"/>
      <c r="C8" s="31"/>
      <c r="D8" s="31"/>
      <c r="E8" s="31"/>
      <c r="F8" s="31"/>
    </row>
    <row r="9" spans="1:6" ht="26.25" customHeight="1" x14ac:dyDescent="0.3">
      <c r="A9" s="32" t="s">
        <v>20</v>
      </c>
      <c r="B9" s="32"/>
      <c r="C9" s="32"/>
      <c r="D9" s="32"/>
      <c r="E9" s="32"/>
      <c r="F9" s="32"/>
    </row>
    <row r="10" spans="1:6" ht="46.5" customHeight="1" x14ac:dyDescent="0.3">
      <c r="A10" s="14" t="s">
        <v>5</v>
      </c>
      <c r="B10" s="14" t="s">
        <v>4</v>
      </c>
      <c r="C10" s="15" t="s">
        <v>1</v>
      </c>
      <c r="D10" s="15" t="s">
        <v>6</v>
      </c>
      <c r="E10" s="14" t="s">
        <v>2</v>
      </c>
      <c r="F10" s="14" t="s">
        <v>3</v>
      </c>
    </row>
    <row r="11" spans="1:6" ht="240.75" customHeight="1" x14ac:dyDescent="0.3">
      <c r="A11" s="1">
        <v>1</v>
      </c>
      <c r="B11" s="5" t="s">
        <v>26</v>
      </c>
      <c r="C11" s="6" t="s">
        <v>0</v>
      </c>
      <c r="D11" s="6">
        <v>1</v>
      </c>
      <c r="E11" s="7">
        <v>52300000</v>
      </c>
      <c r="F11" s="8">
        <f>E11*D11</f>
        <v>52300000</v>
      </c>
    </row>
    <row r="12" spans="1:6" ht="250.5" customHeight="1" x14ac:dyDescent="0.3">
      <c r="A12" s="1">
        <v>2</v>
      </c>
      <c r="B12" s="5" t="s">
        <v>25</v>
      </c>
      <c r="C12" s="6" t="s">
        <v>0</v>
      </c>
      <c r="D12" s="6">
        <v>1</v>
      </c>
      <c r="E12" s="7">
        <v>43900000</v>
      </c>
      <c r="F12" s="8">
        <f t="shared" ref="F12:F14" si="0">E12*D12</f>
        <v>43900000</v>
      </c>
    </row>
    <row r="13" spans="1:6" ht="98.25" customHeight="1" x14ac:dyDescent="0.3">
      <c r="A13" s="1">
        <v>3</v>
      </c>
      <c r="B13" s="5" t="s">
        <v>23</v>
      </c>
      <c r="C13" s="6" t="s">
        <v>9</v>
      </c>
      <c r="D13" s="6">
        <v>1</v>
      </c>
      <c r="E13" s="7">
        <v>5000000</v>
      </c>
      <c r="F13" s="8">
        <f t="shared" si="0"/>
        <v>5000000</v>
      </c>
    </row>
    <row r="14" spans="1:6" ht="69" customHeight="1" x14ac:dyDescent="0.3">
      <c r="A14" s="1">
        <v>4</v>
      </c>
      <c r="B14" s="5" t="s">
        <v>21</v>
      </c>
      <c r="C14" s="6" t="s">
        <v>9</v>
      </c>
      <c r="D14" s="6">
        <v>1</v>
      </c>
      <c r="E14" s="7">
        <v>3000000</v>
      </c>
      <c r="F14" s="8">
        <f t="shared" si="0"/>
        <v>3000000</v>
      </c>
    </row>
    <row r="15" spans="1:6" ht="24" customHeight="1" x14ac:dyDescent="0.3">
      <c r="A15" s="2"/>
      <c r="B15" s="33" t="s">
        <v>7</v>
      </c>
      <c r="C15" s="34"/>
      <c r="D15" s="9"/>
      <c r="E15" s="10"/>
      <c r="F15" s="11">
        <f>SUM(F11:F14)</f>
        <v>104200000</v>
      </c>
    </row>
    <row r="16" spans="1:6" ht="24" customHeight="1" x14ac:dyDescent="0.3">
      <c r="A16" s="2"/>
      <c r="B16" s="33" t="s">
        <v>24</v>
      </c>
      <c r="C16" s="34"/>
      <c r="D16" s="9"/>
      <c r="E16" s="12"/>
      <c r="F16" s="11">
        <f>F15*0.08</f>
        <v>8336000</v>
      </c>
    </row>
    <row r="17" spans="1:6" ht="24" customHeight="1" x14ac:dyDescent="0.3">
      <c r="A17" s="2"/>
      <c r="B17" s="33" t="s">
        <v>8</v>
      </c>
      <c r="C17" s="34"/>
      <c r="D17" s="9"/>
      <c r="E17" s="12"/>
      <c r="F17" s="11">
        <f>SUM(F15:F16)</f>
        <v>112536000</v>
      </c>
    </row>
    <row r="18" spans="1:6" ht="24.75" customHeight="1" x14ac:dyDescent="0.3">
      <c r="D18" s="29" t="s">
        <v>11</v>
      </c>
      <c r="E18" s="29"/>
      <c r="F18" s="29"/>
    </row>
    <row r="19" spans="1:6" ht="52.5" customHeight="1" x14ac:dyDescent="0.3">
      <c r="A19" s="13" t="s">
        <v>10</v>
      </c>
      <c r="B19" s="27" t="s">
        <v>12</v>
      </c>
      <c r="C19" s="28"/>
      <c r="D19" s="28"/>
      <c r="E19" s="28"/>
      <c r="F19" s="28"/>
    </row>
    <row r="20" spans="1:6" ht="22.5" customHeight="1" x14ac:dyDescent="0.3">
      <c r="B20" s="3" t="s">
        <v>13</v>
      </c>
    </row>
    <row r="21" spans="1:6" ht="22.5" customHeight="1" x14ac:dyDescent="0.3"/>
    <row r="22" spans="1:6" ht="22.5" customHeight="1" x14ac:dyDescent="0.3"/>
    <row r="23" spans="1:6" ht="22.5" customHeight="1" x14ac:dyDescent="0.3"/>
  </sheetData>
  <mergeCells count="13">
    <mergeCell ref="B1:F1"/>
    <mergeCell ref="B2:F2"/>
    <mergeCell ref="B3:F3"/>
    <mergeCell ref="B4:F4"/>
    <mergeCell ref="B5:F5"/>
    <mergeCell ref="B19:F19"/>
    <mergeCell ref="D18:F18"/>
    <mergeCell ref="A7:F7"/>
    <mergeCell ref="A8:F8"/>
    <mergeCell ref="A9:F9"/>
    <mergeCell ref="B15:C15"/>
    <mergeCell ref="B16:C16"/>
    <mergeCell ref="B17:C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C600B-E493-4E86-977D-30A81107EC84}">
  <dimension ref="A2:I40"/>
  <sheetViews>
    <sheetView topLeftCell="A16" zoomScale="70" zoomScaleNormal="70" workbookViewId="0">
      <selection activeCell="U28" sqref="U28"/>
    </sheetView>
  </sheetViews>
  <sheetFormatPr defaultRowHeight="18.75" x14ac:dyDescent="0.3"/>
  <cols>
    <col min="1" max="1" width="7.5546875" customWidth="1"/>
    <col min="2" max="2" width="43.77734375" customWidth="1"/>
    <col min="3" max="3" width="9.21875" customWidth="1"/>
    <col min="4" max="4" width="10.5546875" customWidth="1"/>
    <col min="5" max="5" width="16.33203125" customWidth="1"/>
    <col min="6" max="6" width="21.6640625" customWidth="1"/>
    <col min="7" max="7" width="14.109375" bestFit="1" customWidth="1"/>
    <col min="8" max="8" width="14.77734375" customWidth="1"/>
    <col min="9" max="9" width="14.33203125" customWidth="1"/>
  </cols>
  <sheetData>
    <row r="2" spans="1:6" ht="25.5" customHeight="1" x14ac:dyDescent="0.3">
      <c r="A2" s="26" t="s">
        <v>27</v>
      </c>
      <c r="B2" s="26"/>
      <c r="C2" s="26"/>
      <c r="D2" s="26"/>
      <c r="E2" s="26"/>
      <c r="F2" s="26"/>
    </row>
    <row r="3" spans="1:6" ht="41.25" customHeight="1" x14ac:dyDescent="0.3">
      <c r="A3" s="16" t="s">
        <v>5</v>
      </c>
      <c r="B3" s="16" t="s">
        <v>28</v>
      </c>
      <c r="C3" s="17" t="s">
        <v>1</v>
      </c>
      <c r="D3" s="16" t="s">
        <v>29</v>
      </c>
      <c r="E3" s="16" t="s">
        <v>2</v>
      </c>
      <c r="F3" s="16" t="s">
        <v>3</v>
      </c>
    </row>
    <row r="4" spans="1:6" ht="30.75" customHeight="1" x14ac:dyDescent="0.3">
      <c r="A4" s="1">
        <v>1</v>
      </c>
      <c r="B4" s="18" t="s">
        <v>52</v>
      </c>
      <c r="C4" s="1" t="s">
        <v>30</v>
      </c>
      <c r="D4" s="19">
        <v>30</v>
      </c>
      <c r="E4" s="20">
        <v>290000</v>
      </c>
      <c r="F4" s="21">
        <f>E4*D4</f>
        <v>8700000</v>
      </c>
    </row>
    <row r="5" spans="1:6" ht="30.75" customHeight="1" x14ac:dyDescent="0.3">
      <c r="A5" s="1">
        <v>2</v>
      </c>
      <c r="B5" s="18" t="s">
        <v>56</v>
      </c>
      <c r="C5" s="1" t="s">
        <v>30</v>
      </c>
      <c r="D5" s="19">
        <v>30</v>
      </c>
      <c r="E5" s="20">
        <v>160000</v>
      </c>
      <c r="F5" s="21">
        <f t="shared" ref="F5:F15" si="0">E5*D5</f>
        <v>4800000</v>
      </c>
    </row>
    <row r="6" spans="1:6" ht="30.75" customHeight="1" x14ac:dyDescent="0.3">
      <c r="A6" s="1">
        <v>3</v>
      </c>
      <c r="B6" s="22" t="s">
        <v>31</v>
      </c>
      <c r="C6" s="1" t="s">
        <v>32</v>
      </c>
      <c r="D6" s="19">
        <v>2</v>
      </c>
      <c r="E6" s="20">
        <v>500000</v>
      </c>
      <c r="F6" s="21">
        <f t="shared" si="0"/>
        <v>1000000</v>
      </c>
    </row>
    <row r="7" spans="1:6" ht="30.75" customHeight="1" x14ac:dyDescent="0.3">
      <c r="A7" s="1">
        <v>4</v>
      </c>
      <c r="B7" s="18" t="s">
        <v>59</v>
      </c>
      <c r="C7" s="1" t="s">
        <v>33</v>
      </c>
      <c r="D7" s="19">
        <f>D10</f>
        <v>5.6</v>
      </c>
      <c r="E7" s="20">
        <v>650000</v>
      </c>
      <c r="F7" s="21">
        <f t="shared" si="0"/>
        <v>3640000</v>
      </c>
    </row>
    <row r="8" spans="1:6" ht="30.75" customHeight="1" x14ac:dyDescent="0.3">
      <c r="A8" s="1">
        <v>5</v>
      </c>
      <c r="B8" s="18" t="s">
        <v>48</v>
      </c>
      <c r="C8" s="1" t="s">
        <v>33</v>
      </c>
      <c r="D8" s="19">
        <f>D7</f>
        <v>5.6</v>
      </c>
      <c r="E8" s="20">
        <v>450000</v>
      </c>
      <c r="F8" s="21">
        <f t="shared" si="0"/>
        <v>2520000</v>
      </c>
    </row>
    <row r="9" spans="1:6" ht="30.75" customHeight="1" x14ac:dyDescent="0.3">
      <c r="A9" s="1">
        <v>6</v>
      </c>
      <c r="B9" s="18" t="s">
        <v>50</v>
      </c>
      <c r="C9" s="1" t="s">
        <v>34</v>
      </c>
      <c r="D9" s="19">
        <v>3</v>
      </c>
      <c r="E9" s="20">
        <v>450000</v>
      </c>
      <c r="F9" s="21">
        <f t="shared" si="0"/>
        <v>1350000</v>
      </c>
    </row>
    <row r="10" spans="1:6" ht="30.75" customHeight="1" x14ac:dyDescent="0.3">
      <c r="A10" s="1">
        <v>7</v>
      </c>
      <c r="B10" s="22" t="s">
        <v>35</v>
      </c>
      <c r="C10" s="1" t="s">
        <v>33</v>
      </c>
      <c r="D10" s="19">
        <f>2.8*2</f>
        <v>5.6</v>
      </c>
      <c r="E10" s="20">
        <v>650000</v>
      </c>
      <c r="F10" s="21">
        <f t="shared" si="0"/>
        <v>3640000</v>
      </c>
    </row>
    <row r="11" spans="1:6" ht="30.75" customHeight="1" x14ac:dyDescent="0.3">
      <c r="A11" s="1">
        <v>8</v>
      </c>
      <c r="B11" s="18" t="s">
        <v>58</v>
      </c>
      <c r="C11" s="1" t="s">
        <v>36</v>
      </c>
      <c r="D11" s="19">
        <v>400</v>
      </c>
      <c r="E11" s="20">
        <v>30000</v>
      </c>
      <c r="F11" s="21">
        <f t="shared" si="0"/>
        <v>12000000</v>
      </c>
    </row>
    <row r="12" spans="1:6" ht="44.25" customHeight="1" x14ac:dyDescent="0.3">
      <c r="A12" s="1">
        <v>9</v>
      </c>
      <c r="B12" s="22" t="s">
        <v>44</v>
      </c>
      <c r="C12" s="1" t="s">
        <v>37</v>
      </c>
      <c r="D12" s="19">
        <v>2</v>
      </c>
      <c r="E12" s="20">
        <v>1300000</v>
      </c>
      <c r="F12" s="21">
        <f t="shared" si="0"/>
        <v>2600000</v>
      </c>
    </row>
    <row r="13" spans="1:6" ht="30.75" customHeight="1" x14ac:dyDescent="0.3">
      <c r="A13" s="46">
        <v>10</v>
      </c>
      <c r="B13" s="47" t="s">
        <v>49</v>
      </c>
      <c r="C13" s="46" t="s">
        <v>9</v>
      </c>
      <c r="D13" s="48">
        <v>1</v>
      </c>
      <c r="E13" s="49">
        <v>500000</v>
      </c>
      <c r="F13" s="50">
        <f t="shared" si="0"/>
        <v>500000</v>
      </c>
    </row>
    <row r="14" spans="1:6" ht="30.75" customHeight="1" x14ac:dyDescent="0.3">
      <c r="A14" s="40">
        <v>11</v>
      </c>
      <c r="B14" s="51" t="s">
        <v>60</v>
      </c>
      <c r="C14" s="40" t="s">
        <v>39</v>
      </c>
      <c r="D14" s="52">
        <v>2</v>
      </c>
      <c r="E14" s="43">
        <v>800000</v>
      </c>
      <c r="F14" s="53">
        <f t="shared" si="0"/>
        <v>1600000</v>
      </c>
    </row>
    <row r="15" spans="1:6" ht="30.75" customHeight="1" x14ac:dyDescent="0.3">
      <c r="A15" s="40">
        <v>12</v>
      </c>
      <c r="B15" s="54" t="s">
        <v>38</v>
      </c>
      <c r="C15" s="40" t="s">
        <v>39</v>
      </c>
      <c r="D15" s="52">
        <v>5</v>
      </c>
      <c r="E15" s="43">
        <v>600000</v>
      </c>
      <c r="F15" s="53">
        <f t="shared" si="0"/>
        <v>3000000</v>
      </c>
    </row>
    <row r="16" spans="1:6" ht="30.75" customHeight="1" x14ac:dyDescent="0.3">
      <c r="A16" s="40">
        <v>13</v>
      </c>
      <c r="B16" s="54" t="s">
        <v>55</v>
      </c>
      <c r="C16" s="40" t="s">
        <v>40</v>
      </c>
      <c r="D16" s="55">
        <v>0.05</v>
      </c>
      <c r="E16" s="53">
        <f>SUM(F4:F13)</f>
        <v>40750000</v>
      </c>
      <c r="F16" s="56">
        <f>E16*D16</f>
        <v>2037500</v>
      </c>
    </row>
    <row r="17" spans="1:9" ht="30.75" customHeight="1" x14ac:dyDescent="0.3">
      <c r="A17" s="40">
        <v>14</v>
      </c>
      <c r="B17" s="54" t="s">
        <v>54</v>
      </c>
      <c r="C17" s="40" t="s">
        <v>46</v>
      </c>
      <c r="D17" s="55">
        <v>0.05</v>
      </c>
      <c r="E17" s="53">
        <f>SUM(F4:F13)</f>
        <v>40750000</v>
      </c>
      <c r="F17" s="56">
        <f>E17*D17</f>
        <v>2037500</v>
      </c>
    </row>
    <row r="18" spans="1:9" ht="30.75" customHeight="1" x14ac:dyDescent="0.3">
      <c r="A18" s="40">
        <v>15</v>
      </c>
      <c r="B18" s="54" t="s">
        <v>41</v>
      </c>
      <c r="C18" s="40" t="s">
        <v>40</v>
      </c>
      <c r="D18" s="55">
        <v>0.15</v>
      </c>
      <c r="E18" s="53">
        <f>SUM(F4:F17)</f>
        <v>49425000</v>
      </c>
      <c r="F18" s="53">
        <f>E18*D18</f>
        <v>7413750</v>
      </c>
      <c r="G18" s="39"/>
    </row>
    <row r="19" spans="1:9" ht="31.5" customHeight="1" x14ac:dyDescent="0.3">
      <c r="A19" s="40">
        <v>16</v>
      </c>
      <c r="B19" s="54" t="s">
        <v>47</v>
      </c>
      <c r="C19" s="40" t="s">
        <v>9</v>
      </c>
      <c r="D19" s="55">
        <v>0.15</v>
      </c>
      <c r="E19" s="53">
        <f>SUM(F4:F18)</f>
        <v>56838750</v>
      </c>
      <c r="F19" s="53">
        <f>E19*D19</f>
        <v>8525812.5</v>
      </c>
    </row>
    <row r="20" spans="1:9" ht="25.5" customHeight="1" x14ac:dyDescent="0.3">
      <c r="A20" s="57"/>
      <c r="B20" s="58" t="s">
        <v>61</v>
      </c>
      <c r="C20" s="59"/>
      <c r="D20" s="59"/>
      <c r="E20" s="60"/>
      <c r="F20" s="62">
        <f>SUM(F4:F19)</f>
        <v>65364562.5</v>
      </c>
      <c r="G20" s="63">
        <f>F20+F38</f>
        <v>120307825</v>
      </c>
      <c r="I20" s="39"/>
    </row>
    <row r="21" spans="1:9" ht="25.5" customHeight="1" x14ac:dyDescent="0.3">
      <c r="A21" s="57"/>
      <c r="B21" s="58" t="s">
        <v>64</v>
      </c>
      <c r="C21" s="59"/>
      <c r="D21" s="59"/>
      <c r="E21" s="60"/>
      <c r="F21" s="62">
        <f>F20*20%</f>
        <v>13072912.5</v>
      </c>
      <c r="G21" s="39">
        <f>F22+F40</f>
        <v>96246260</v>
      </c>
    </row>
    <row r="22" spans="1:9" ht="25.5" customHeight="1" x14ac:dyDescent="0.3">
      <c r="A22" s="57"/>
      <c r="B22" s="58" t="s">
        <v>62</v>
      </c>
      <c r="C22" s="59"/>
      <c r="D22" s="59"/>
      <c r="E22" s="60"/>
      <c r="F22" s="62">
        <f>F20-F21</f>
        <v>52291650</v>
      </c>
      <c r="G22" s="39"/>
    </row>
    <row r="23" spans="1:9" ht="27.75" customHeight="1" x14ac:dyDescent="0.3">
      <c r="B23" s="23" t="s">
        <v>43</v>
      </c>
      <c r="I23" s="39"/>
    </row>
    <row r="24" spans="1:9" ht="47.25" customHeight="1" x14ac:dyDescent="0.3">
      <c r="A24" s="16" t="s">
        <v>5</v>
      </c>
      <c r="B24" s="16" t="s">
        <v>28</v>
      </c>
      <c r="C24" s="17" t="s">
        <v>1</v>
      </c>
      <c r="D24" s="16" t="s">
        <v>29</v>
      </c>
      <c r="E24" s="16" t="s">
        <v>2</v>
      </c>
      <c r="F24" s="16" t="s">
        <v>3</v>
      </c>
    </row>
    <row r="25" spans="1:9" ht="28.5" customHeight="1" x14ac:dyDescent="0.3">
      <c r="A25" s="1">
        <v>1</v>
      </c>
      <c r="B25" s="24" t="s">
        <v>53</v>
      </c>
      <c r="C25" s="1" t="s">
        <v>30</v>
      </c>
      <c r="D25" s="25">
        <v>35</v>
      </c>
      <c r="E25" s="20">
        <v>260000</v>
      </c>
      <c r="F25" s="20">
        <f>E25*D25</f>
        <v>9100000</v>
      </c>
    </row>
    <row r="26" spans="1:9" ht="28.5" customHeight="1" x14ac:dyDescent="0.3">
      <c r="A26" s="1">
        <v>2</v>
      </c>
      <c r="B26" s="24" t="s">
        <v>56</v>
      </c>
      <c r="C26" s="1" t="s">
        <v>30</v>
      </c>
      <c r="D26" s="25">
        <v>35</v>
      </c>
      <c r="E26" s="20">
        <v>160000</v>
      </c>
      <c r="F26" s="20">
        <f t="shared" ref="F26:F36" si="1">E26*D26</f>
        <v>5600000</v>
      </c>
      <c r="H26" s="39"/>
    </row>
    <row r="27" spans="1:9" ht="28.5" customHeight="1" x14ac:dyDescent="0.3">
      <c r="A27" s="1">
        <v>3</v>
      </c>
      <c r="B27" s="24" t="s">
        <v>31</v>
      </c>
      <c r="C27" s="1" t="s">
        <v>32</v>
      </c>
      <c r="D27" s="25">
        <v>1.5</v>
      </c>
      <c r="E27" s="20">
        <v>500000</v>
      </c>
      <c r="F27" s="20">
        <f t="shared" si="1"/>
        <v>750000</v>
      </c>
      <c r="G27" s="39"/>
    </row>
    <row r="28" spans="1:9" ht="28.5" customHeight="1" x14ac:dyDescent="0.3">
      <c r="A28" s="1">
        <v>4</v>
      </c>
      <c r="B28" s="24" t="s">
        <v>35</v>
      </c>
      <c r="C28" s="1" t="s">
        <v>32</v>
      </c>
      <c r="D28" s="25">
        <v>2</v>
      </c>
      <c r="E28" s="20">
        <v>1300000</v>
      </c>
      <c r="F28" s="20">
        <f t="shared" si="1"/>
        <v>2600000</v>
      </c>
      <c r="G28" s="39"/>
    </row>
    <row r="29" spans="1:9" ht="28.5" customHeight="1" x14ac:dyDescent="0.3">
      <c r="A29" s="1">
        <v>5</v>
      </c>
      <c r="B29" s="24" t="s">
        <v>57</v>
      </c>
      <c r="C29" s="1" t="s">
        <v>36</v>
      </c>
      <c r="D29" s="25">
        <v>350</v>
      </c>
      <c r="E29" s="20">
        <v>30000</v>
      </c>
      <c r="F29" s="20">
        <f t="shared" si="1"/>
        <v>10500000</v>
      </c>
    </row>
    <row r="30" spans="1:9" ht="46.5" customHeight="1" x14ac:dyDescent="0.3">
      <c r="A30" s="1">
        <v>6</v>
      </c>
      <c r="B30" s="38" t="s">
        <v>51</v>
      </c>
      <c r="C30" s="1" t="s">
        <v>37</v>
      </c>
      <c r="D30" s="25">
        <v>2</v>
      </c>
      <c r="E30" s="20">
        <v>1200000</v>
      </c>
      <c r="F30" s="20">
        <f t="shared" si="1"/>
        <v>2400000</v>
      </c>
      <c r="H30" s="39"/>
    </row>
    <row r="31" spans="1:9" ht="28.5" customHeight="1" x14ac:dyDescent="0.3">
      <c r="A31" s="40">
        <v>7</v>
      </c>
      <c r="B31" s="44" t="s">
        <v>49</v>
      </c>
      <c r="C31" s="40" t="s">
        <v>9</v>
      </c>
      <c r="D31" s="45">
        <v>1</v>
      </c>
      <c r="E31" s="43">
        <v>1000000</v>
      </c>
      <c r="F31" s="43">
        <f t="shared" si="1"/>
        <v>1000000</v>
      </c>
    </row>
    <row r="32" spans="1:9" ht="28.5" customHeight="1" x14ac:dyDescent="0.3">
      <c r="A32" s="40">
        <v>8</v>
      </c>
      <c r="B32" s="51" t="s">
        <v>60</v>
      </c>
      <c r="C32" s="40" t="s">
        <v>39</v>
      </c>
      <c r="D32" s="52">
        <v>2</v>
      </c>
      <c r="E32" s="43">
        <v>800000</v>
      </c>
      <c r="F32" s="43">
        <f t="shared" si="1"/>
        <v>1600000</v>
      </c>
    </row>
    <row r="33" spans="1:7" ht="28.5" customHeight="1" x14ac:dyDescent="0.3">
      <c r="A33" s="40">
        <v>9</v>
      </c>
      <c r="B33" s="41" t="s">
        <v>38</v>
      </c>
      <c r="C33" s="40" t="s">
        <v>39</v>
      </c>
      <c r="D33" s="45">
        <v>8</v>
      </c>
      <c r="E33" s="43">
        <v>600000</v>
      </c>
      <c r="F33" s="43">
        <f t="shared" si="1"/>
        <v>4800000</v>
      </c>
    </row>
    <row r="34" spans="1:7" ht="28.5" customHeight="1" x14ac:dyDescent="0.3">
      <c r="A34" s="40">
        <v>10</v>
      </c>
      <c r="B34" s="41" t="s">
        <v>55</v>
      </c>
      <c r="C34" s="40" t="s">
        <v>40</v>
      </c>
      <c r="D34" s="42">
        <v>0.05</v>
      </c>
      <c r="E34" s="43">
        <f>SUM(F25:F31)</f>
        <v>31950000</v>
      </c>
      <c r="F34" s="43">
        <f t="shared" si="1"/>
        <v>1597500</v>
      </c>
    </row>
    <row r="35" spans="1:7" ht="28.5" customHeight="1" x14ac:dyDescent="0.3">
      <c r="A35" s="40">
        <v>11</v>
      </c>
      <c r="B35" s="41" t="s">
        <v>45</v>
      </c>
      <c r="C35" s="40" t="s">
        <v>40</v>
      </c>
      <c r="D35" s="42">
        <v>0.05</v>
      </c>
      <c r="E35" s="43">
        <f>SUM(F25:F31)</f>
        <v>31950000</v>
      </c>
      <c r="F35" s="43">
        <f>E35*D35</f>
        <v>1597500</v>
      </c>
    </row>
    <row r="36" spans="1:7" ht="28.5" customHeight="1" x14ac:dyDescent="0.3">
      <c r="A36" s="40">
        <v>12</v>
      </c>
      <c r="B36" s="41" t="s">
        <v>41</v>
      </c>
      <c r="C36" s="40" t="s">
        <v>40</v>
      </c>
      <c r="D36" s="42">
        <v>0.15</v>
      </c>
      <c r="E36" s="43">
        <f>SUM(F25:F35)</f>
        <v>41545000</v>
      </c>
      <c r="F36" s="43">
        <f t="shared" si="1"/>
        <v>6231750</v>
      </c>
    </row>
    <row r="37" spans="1:7" ht="28.5" customHeight="1" x14ac:dyDescent="0.3">
      <c r="A37" s="40">
        <v>13</v>
      </c>
      <c r="B37" s="41" t="s">
        <v>47</v>
      </c>
      <c r="C37" s="40" t="s">
        <v>9</v>
      </c>
      <c r="D37" s="42">
        <v>0.15</v>
      </c>
      <c r="E37" s="43">
        <f>SUM(F25:F36)</f>
        <v>47776750</v>
      </c>
      <c r="F37" s="43">
        <f>E37*D37</f>
        <v>7166512.5</v>
      </c>
    </row>
    <row r="38" spans="1:7" ht="24" customHeight="1" x14ac:dyDescent="0.3">
      <c r="A38" s="24"/>
      <c r="B38" s="58" t="s">
        <v>42</v>
      </c>
      <c r="C38" s="59"/>
      <c r="D38" s="59"/>
      <c r="E38" s="60"/>
      <c r="F38" s="61">
        <f>SUM(F25:F37)</f>
        <v>54943262.5</v>
      </c>
      <c r="G38" s="63"/>
    </row>
    <row r="39" spans="1:7" ht="24" customHeight="1" x14ac:dyDescent="0.3">
      <c r="A39" s="2"/>
      <c r="B39" s="58" t="s">
        <v>64</v>
      </c>
      <c r="C39" s="59"/>
      <c r="D39" s="59"/>
      <c r="E39" s="60"/>
      <c r="F39" s="62">
        <f>F38*20%</f>
        <v>10988652.5</v>
      </c>
    </row>
    <row r="40" spans="1:7" ht="24" customHeight="1" x14ac:dyDescent="0.3">
      <c r="A40" s="2"/>
      <c r="B40" s="58" t="s">
        <v>63</v>
      </c>
      <c r="C40" s="59"/>
      <c r="D40" s="59"/>
      <c r="E40" s="60"/>
      <c r="F40" s="62">
        <f>F38-F39</f>
        <v>43954610</v>
      </c>
    </row>
  </sheetData>
  <mergeCells count="7">
    <mergeCell ref="B40:E40"/>
    <mergeCell ref="A2:F2"/>
    <mergeCell ref="B20:E20"/>
    <mergeCell ref="B21:E21"/>
    <mergeCell ref="B22:E22"/>
    <mergeCell ref="B38:E38"/>
    <mergeCell ref="B39:E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Báo giá</vt:lpstr>
      <vt:lpstr>Breakdown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Windows</cp:lastModifiedBy>
  <dcterms:created xsi:type="dcterms:W3CDTF">2026-05-08T07:48:32Z</dcterms:created>
  <dcterms:modified xsi:type="dcterms:W3CDTF">2026-05-25T10:07:16Z</dcterms:modified>
</cp:coreProperties>
</file>